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Fine Art Paper" sheetId="2" state="visible" r:id="rId2"/>
    <sheet xmlns:r="http://schemas.openxmlformats.org/officeDocument/2006/relationships" name="Canvas" sheetId="3" state="visible" r:id="rId3"/>
    <sheet xmlns:r="http://schemas.openxmlformats.org/officeDocument/2006/relationships" name="Metal Prints" sheetId="4" state="visible" r:id="rId4"/>
    <sheet xmlns:r="http://schemas.openxmlformats.org/officeDocument/2006/relationships" name="Glass Float Fram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x&quot;"/>
    <numFmt numFmtId="165" formatCode="$#,##0.00"/>
    <numFmt numFmtId="166" formatCode="&quot;AUD $&quot;#,##0"/>
  </numFmts>
  <fonts count="12">
    <font>
      <name val="Calibri"/>
      <family val="2"/>
      <color theme="1"/>
      <sz val="11"/>
      <scheme val="minor"/>
    </font>
    <font>
      <b val="1"/>
      <color rgb="00C8A96E"/>
      <sz val="14"/>
    </font>
    <font>
      <b val="1"/>
      <color rgb="00CCCCCC"/>
    </font>
    <font>
      <b val="1"/>
      <color rgb="000000FF"/>
      <sz val="12"/>
    </font>
    <font>
      <b val="1"/>
      <color rgb="00C8A96E"/>
      <sz val="9"/>
    </font>
    <font>
      <color rgb="00CCCCCC"/>
      <sz val="9"/>
    </font>
    <font>
      <b val="1"/>
      <color rgb="00C8A96E"/>
      <sz val="13"/>
    </font>
    <font>
      <b val="1"/>
      <color rgb="00FFFFFF"/>
      <sz val="10"/>
    </font>
    <font>
      <b val="1"/>
      <color rgb="00CCCCCC"/>
      <sz val="9"/>
    </font>
    <font>
      <color rgb="000000FF"/>
      <sz val="9"/>
    </font>
    <font>
      <color rgb="00000000"/>
      <sz val="9"/>
    </font>
    <font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A1A1A"/>
      </patternFill>
    </fill>
    <fill>
      <patternFill patternType="solid">
        <fgColor rgb="000A0A3A"/>
      </patternFill>
    </fill>
    <fill>
      <patternFill patternType="solid">
        <fgColor rgb="001A3A1A"/>
      </patternFill>
    </fill>
    <fill>
      <patternFill patternType="solid">
        <fgColor rgb="00111111"/>
      </patternFill>
    </fill>
  </fills>
  <borders count="6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left/>
      <right/>
      <top style="thin">
        <color rgb="00333333"/>
      </top>
      <bottom/>
      <diagonal/>
    </border>
    <border>
      <left/>
      <right style="thin">
        <color rgb="00333333"/>
      </right>
      <top style="thin">
        <color rgb="00333333"/>
      </top>
      <bottom/>
      <diagonal/>
    </border>
    <border>
      <left/>
      <right/>
      <top style="thin">
        <color rgb="00333333"/>
      </top>
      <bottom style="thin">
        <color rgb="00333333"/>
      </bottom>
      <diagonal/>
    </border>
    <border>
      <left/>
      <right style="thin">
        <color rgb="00333333"/>
      </right>
      <top style="thin">
        <color rgb="00333333"/>
      </top>
      <bottom style="thin">
        <color rgb="00333333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5" fontId="9" fillId="0" borderId="1" applyAlignment="1" pivotButton="0" quotePrefix="0" xfId="0">
      <alignment horizontal="right"/>
    </xf>
    <xf numFmtId="166" fontId="10" fillId="0" borderId="1" applyAlignment="1" pivotButton="0" quotePrefix="0" xfId="0">
      <alignment horizontal="right"/>
    </xf>
    <xf numFmtId="0" fontId="11" fillId="0" borderId="1" pivotButton="0" quotePrefix="0" xfId="0"/>
    <xf numFmtId="0" fontId="1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 ht="28" customHeight="1">
      <c r="A1" s="1" t="inlineStr">
        <is>
          <t>CRISPY SCAPES — PRINT PRICING CALCULATOR</t>
        </is>
      </c>
    </row>
    <row r="3">
      <c r="A3" s="2" t="inlineStr">
        <is>
          <t>Profit Multiplier</t>
        </is>
      </c>
      <c r="B3" s="3" t="n">
        <v>3.5</v>
      </c>
    </row>
    <row r="5">
      <c r="A5" s="4" t="inlineStr">
        <is>
          <t>HOW TO USE:</t>
        </is>
      </c>
    </row>
    <row r="6">
      <c r="A6" s="5" t="inlineStr">
        <is>
          <t>1. Change B3 to update your profit multiplier across all sheets.</t>
        </is>
      </c>
    </row>
    <row r="7">
      <c r="A7" s="5" t="inlineStr">
        <is>
          <t>2. To replace lab prices: paste new Base Cost values from the lab quote into the blue columns.</t>
        </is>
      </c>
    </row>
    <row r="8">
      <c r="A8" s="5" t="inlineStr">
        <is>
          <t>3. Sell Prices recalculate automatically — do not edit those columns.</t>
        </is>
      </c>
    </row>
    <row r="9">
      <c r="A9" s="5" t="inlineStr">
        <is>
          <t>4. All prices are before postage. Add postage separately when quoting.</t>
        </is>
      </c>
    </row>
    <row r="10">
      <c r="A10" s="5" t="inlineStr">
        <is>
          <t>5. Custom sizes: quote manually. Use 3.5× as a guide on the lab's custom price.</t>
        </is>
      </c>
    </row>
    <row r="12">
      <c r="A12" s="4" t="inlineStr">
        <is>
          <t>COLOUR CODING:</t>
        </is>
      </c>
    </row>
    <row r="13">
      <c r="A13" s="5" t="inlineStr">
        <is>
          <t>Blue text  = Base cost inputs (paste new lab prices here)</t>
        </is>
      </c>
    </row>
    <row r="14">
      <c r="A14" s="5" t="inlineStr">
        <is>
          <t>Black text = Formula (auto-calculates — do not edit)</t>
        </is>
      </c>
    </row>
    <row r="15">
      <c r="A15" s="5" t="inlineStr">
        <is>
          <t>Yellow fill = Key assumption (multiplier)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Fine Art Paper Pricing</t>
        </is>
      </c>
    </row>
    <row r="2" ht="20" customHeight="1">
      <c r="A2" s="7" t="inlineStr">
        <is>
          <t>Size</t>
        </is>
      </c>
      <c r="B2" s="7" t="inlineStr">
        <is>
          <t>Format</t>
        </is>
      </c>
      <c r="C2" s="8" t="inlineStr">
        <is>
          <t>Base Cost
Satin/Matte</t>
        </is>
      </c>
      <c r="D2" s="9" t="inlineStr">
        <is>
          <t>SELL PRICE
Satin/Matte</t>
        </is>
      </c>
      <c r="E2" s="8" t="inlineStr">
        <is>
          <t>Base Cost
Hahnemühle</t>
        </is>
      </c>
      <c r="F2" s="9" t="inlineStr">
        <is>
          <t>SELL PRICE
Hahnemühle</t>
        </is>
      </c>
      <c r="G2" s="8" t="inlineStr">
        <is>
          <t>Base Cost
Metallic Pearl</t>
        </is>
      </c>
      <c r="H2" s="9" t="inlineStr">
        <is>
          <t>SELL PRICE
Metallic Pearl</t>
        </is>
      </c>
    </row>
    <row r="3">
      <c r="A3" s="10" t="inlineStr">
        <is>
          <t xml:space="preserve">  Standard Sizes</t>
        </is>
      </c>
      <c r="B3" s="11" t="n"/>
      <c r="C3" s="11" t="n"/>
      <c r="D3" s="11" t="n"/>
      <c r="E3" s="11" t="n"/>
      <c r="F3" s="11" t="n"/>
      <c r="G3" s="11" t="n"/>
      <c r="H3" s="12" t="n"/>
    </row>
    <row r="4">
      <c r="A4" s="13" t="inlineStr">
        <is>
          <t>8 × 10"</t>
        </is>
      </c>
      <c r="B4" s="14" t="inlineStr">
        <is>
          <t>Standard</t>
        </is>
      </c>
      <c r="C4" s="15" t="n">
        <v>4.6</v>
      </c>
      <c r="D4" s="16">
        <f>C4*Settings!$B$3</f>
        <v/>
      </c>
      <c r="E4" s="15" t="n">
        <v>20.4</v>
      </c>
      <c r="F4" s="16">
        <f>E4*Settings!$B$3</f>
        <v/>
      </c>
      <c r="G4" s="15" t="n">
        <v>19.87</v>
      </c>
      <c r="H4" s="16">
        <f>G4*Settings!$B$3</f>
        <v/>
      </c>
    </row>
    <row r="5">
      <c r="A5" s="13" t="inlineStr">
        <is>
          <t>8 × 12"</t>
        </is>
      </c>
      <c r="B5" s="14" t="inlineStr">
        <is>
          <t>Standard</t>
        </is>
      </c>
      <c r="C5" s="15" t="n">
        <v>4.95</v>
      </c>
      <c r="D5" s="16">
        <f>C5*Settings!$B$3</f>
        <v/>
      </c>
      <c r="E5" s="15" t="n">
        <v>20.4</v>
      </c>
      <c r="F5" s="16">
        <f>E5*Settings!$B$3</f>
        <v/>
      </c>
      <c r="G5" s="15" t="n">
        <v>19.87</v>
      </c>
      <c r="H5" s="16">
        <f>G5*Settings!$B$3</f>
        <v/>
      </c>
    </row>
    <row r="6">
      <c r="A6" s="13" t="inlineStr">
        <is>
          <t>11 × 14"</t>
        </is>
      </c>
      <c r="B6" s="14" t="inlineStr">
        <is>
          <t>Standard</t>
        </is>
      </c>
      <c r="C6" s="15" t="n">
        <v>13.8</v>
      </c>
      <c r="D6" s="16">
        <f>C6*Settings!$B$3</f>
        <v/>
      </c>
      <c r="E6" s="15" t="n">
        <v>36</v>
      </c>
      <c r="F6" s="16">
        <f>E6*Settings!$B$3</f>
        <v/>
      </c>
      <c r="G6" s="15" t="n">
        <v>36.43</v>
      </c>
      <c r="H6" s="16">
        <f>G6*Settings!$B$3</f>
        <v/>
      </c>
    </row>
    <row r="7">
      <c r="A7" s="13" t="inlineStr">
        <is>
          <t>12 × 16"</t>
        </is>
      </c>
      <c r="B7" s="14" t="inlineStr">
        <is>
          <t>Standard</t>
        </is>
      </c>
      <c r="C7" s="15" t="n">
        <v>14.95</v>
      </c>
      <c r="D7" s="16">
        <f>C7*Settings!$B$3</f>
        <v/>
      </c>
      <c r="E7" s="15" t="n">
        <v>56.4</v>
      </c>
      <c r="F7" s="16">
        <f>E7*Settings!$B$3</f>
        <v/>
      </c>
      <c r="G7" s="15" t="n">
        <v>56.3</v>
      </c>
      <c r="H7" s="16">
        <f>G7*Settings!$B$3</f>
        <v/>
      </c>
    </row>
    <row r="8">
      <c r="A8" s="13" t="inlineStr">
        <is>
          <t>16 × 20"</t>
        </is>
      </c>
      <c r="B8" s="14" t="inlineStr">
        <is>
          <t>Standard</t>
        </is>
      </c>
      <c r="C8" s="15" t="n">
        <v>23</v>
      </c>
      <c r="D8" s="16">
        <f>C8*Settings!$B$3</f>
        <v/>
      </c>
      <c r="E8" s="15" t="n">
        <v>66</v>
      </c>
      <c r="F8" s="16">
        <f>E8*Settings!$B$3</f>
        <v/>
      </c>
      <c r="G8" s="15" t="n">
        <v>66.23999999999999</v>
      </c>
      <c r="H8" s="16">
        <f>G8*Settings!$B$3</f>
        <v/>
      </c>
    </row>
    <row r="9">
      <c r="A9" s="13" t="inlineStr">
        <is>
          <t>16 × 24"</t>
        </is>
      </c>
      <c r="B9" s="14" t="inlineStr">
        <is>
          <t>Standard</t>
        </is>
      </c>
      <c r="C9" s="15" t="n">
        <v>26.45</v>
      </c>
      <c r="D9" s="16">
        <f>C9*Settings!$B$3</f>
        <v/>
      </c>
      <c r="E9" s="15" t="n">
        <v>79.2</v>
      </c>
      <c r="F9" s="16">
        <f>E9*Settings!$B$3</f>
        <v/>
      </c>
      <c r="G9" s="15" t="n">
        <v>79.48999999999999</v>
      </c>
      <c r="H9" s="16">
        <f>G9*Settings!$B$3</f>
        <v/>
      </c>
    </row>
    <row r="10">
      <c r="A10" s="13" t="inlineStr">
        <is>
          <t>20 × 24"</t>
        </is>
      </c>
      <c r="B10" s="14" t="inlineStr">
        <is>
          <t>Standard</t>
        </is>
      </c>
      <c r="C10" s="15" t="n">
        <v>28.75</v>
      </c>
      <c r="D10" s="16">
        <f>C10*Settings!$B$3</f>
        <v/>
      </c>
      <c r="E10" s="15" t="n">
        <v>112.8</v>
      </c>
      <c r="F10" s="16">
        <f>E10*Settings!$B$3</f>
        <v/>
      </c>
      <c r="G10" s="15" t="n">
        <v>112.61</v>
      </c>
      <c r="H10" s="16">
        <f>G10*Settings!$B$3</f>
        <v/>
      </c>
    </row>
    <row r="11">
      <c r="A11" s="13" t="inlineStr">
        <is>
          <t>20 × 30"</t>
        </is>
      </c>
      <c r="B11" s="14" t="inlineStr">
        <is>
          <t>Standard</t>
        </is>
      </c>
      <c r="C11" s="15" t="n">
        <v>32.2</v>
      </c>
      <c r="D11" s="16">
        <f>C11*Settings!$B$3</f>
        <v/>
      </c>
      <c r="E11" s="15" t="n">
        <v>148.8</v>
      </c>
      <c r="F11" s="16">
        <f>E11*Settings!$B$3</f>
        <v/>
      </c>
      <c r="G11" s="15" t="n">
        <v>149.04</v>
      </c>
      <c r="H11" s="16">
        <f>G11*Settings!$B$3</f>
        <v/>
      </c>
    </row>
    <row r="12">
      <c r="A12" s="13" t="inlineStr">
        <is>
          <t>24 × 36"</t>
        </is>
      </c>
      <c r="B12" s="14" t="inlineStr">
        <is>
          <t>Standard</t>
        </is>
      </c>
      <c r="C12" s="15" t="n">
        <v>44.85</v>
      </c>
      <c r="D12" s="16">
        <f>C12*Settings!$B$3</f>
        <v/>
      </c>
      <c r="E12" s="15" t="n">
        <v>178.8</v>
      </c>
      <c r="F12" s="16">
        <f>E12*Settings!$B$3</f>
        <v/>
      </c>
      <c r="G12" s="15" t="n">
        <v>178.85</v>
      </c>
      <c r="H12" s="16">
        <f>G12*Settings!$B$3</f>
        <v/>
      </c>
    </row>
    <row r="13">
      <c r="A13" s="13" t="inlineStr">
        <is>
          <t>30 × 40"</t>
        </is>
      </c>
      <c r="B13" s="14" t="inlineStr">
        <is>
          <t>Standard</t>
        </is>
      </c>
      <c r="C13" s="15" t="n">
        <v>63.25</v>
      </c>
      <c r="D13" s="16">
        <f>C13*Settings!$B$3</f>
        <v/>
      </c>
      <c r="E13" s="15" t="n">
        <v>290.4</v>
      </c>
      <c r="F13" s="16">
        <f>E13*Settings!$B$3</f>
        <v/>
      </c>
      <c r="G13" s="15" t="n">
        <v>289.8</v>
      </c>
      <c r="H13" s="16">
        <f>G13*Settings!$B$3</f>
        <v/>
      </c>
    </row>
    <row r="14">
      <c r="A14" s="13" t="inlineStr">
        <is>
          <t>30 × 45"</t>
        </is>
      </c>
      <c r="B14" s="14" t="inlineStr">
        <is>
          <t>Standard</t>
        </is>
      </c>
      <c r="C14" s="15" t="n">
        <v>69</v>
      </c>
      <c r="D14" s="16">
        <f>C14*Settings!$B$3</f>
        <v/>
      </c>
      <c r="E14" s="15" t="n">
        <v>297.6</v>
      </c>
      <c r="F14" s="16">
        <f>E14*Settings!$B$3</f>
        <v/>
      </c>
      <c r="G14" s="15" t="n">
        <v>298.08</v>
      </c>
      <c r="H14" s="16">
        <f>G14*Settings!$B$3</f>
        <v/>
      </c>
    </row>
    <row r="15">
      <c r="A15" s="13" t="inlineStr">
        <is>
          <t>36 × 48"</t>
        </is>
      </c>
      <c r="B15" s="14" t="inlineStr">
        <is>
          <t>Standard</t>
        </is>
      </c>
      <c r="C15" s="15" t="n">
        <v>120.75</v>
      </c>
      <c r="D15" s="16">
        <f>C15*Settings!$B$3</f>
        <v/>
      </c>
      <c r="E15" s="15" t="n">
        <v>348</v>
      </c>
      <c r="F15" s="16">
        <f>E15*Settings!$B$3</f>
        <v/>
      </c>
      <c r="G15" s="15" t="n">
        <v>347.76</v>
      </c>
      <c r="H15" s="16">
        <f>G15*Settings!$B$3</f>
        <v/>
      </c>
    </row>
    <row r="16">
      <c r="A16" s="10" t="inlineStr">
        <is>
          <t xml:space="preserve">  Panoramic Sizes</t>
        </is>
      </c>
      <c r="B16" s="11" t="n"/>
      <c r="C16" s="11" t="n"/>
      <c r="D16" s="11" t="n"/>
      <c r="E16" s="11" t="n"/>
      <c r="F16" s="11" t="n"/>
      <c r="G16" s="11" t="n"/>
      <c r="H16" s="12" t="n"/>
    </row>
    <row r="17">
      <c r="A17" s="13" t="inlineStr">
        <is>
          <t>10 × 20"</t>
        </is>
      </c>
      <c r="B17" s="14" t="inlineStr">
        <is>
          <t>Panoramic</t>
        </is>
      </c>
      <c r="C17" s="15" t="n">
        <v>17.25</v>
      </c>
      <c r="D17" s="16">
        <f>C17*Settings!$B$3</f>
        <v/>
      </c>
      <c r="E17" s="15" t="n">
        <v>52.8</v>
      </c>
      <c r="F17" s="16">
        <f>E17*Settings!$B$3</f>
        <v/>
      </c>
      <c r="G17" s="15" t="n">
        <v>52.99</v>
      </c>
      <c r="H17" s="16">
        <f>G17*Settings!$B$3</f>
        <v/>
      </c>
    </row>
    <row r="18">
      <c r="A18" s="13" t="inlineStr">
        <is>
          <t>10 × 30"</t>
        </is>
      </c>
      <c r="B18" s="14" t="inlineStr">
        <is>
          <t>Panoramic</t>
        </is>
      </c>
      <c r="C18" s="15" t="n">
        <v>28.75</v>
      </c>
      <c r="D18" s="16">
        <f>C18*Settings!$B$3</f>
        <v/>
      </c>
      <c r="E18" s="15" t="n">
        <v>74.40000000000001</v>
      </c>
      <c r="F18" s="16">
        <f>E18*Settings!$B$3</f>
        <v/>
      </c>
      <c r="G18" s="15" t="n">
        <v>74.52</v>
      </c>
      <c r="H18" s="16">
        <f>G18*Settings!$B$3</f>
        <v/>
      </c>
    </row>
    <row r="19">
      <c r="A19" s="13" t="inlineStr">
        <is>
          <t>12 × 24"</t>
        </is>
      </c>
      <c r="B19" s="14" t="inlineStr">
        <is>
          <t>Panoramic</t>
        </is>
      </c>
      <c r="C19" s="15" t="n">
        <v>23</v>
      </c>
      <c r="D19" s="16">
        <f>C19*Settings!$B$3</f>
        <v/>
      </c>
      <c r="E19" s="15" t="n">
        <v>66</v>
      </c>
      <c r="F19" s="16">
        <f>E19*Settings!$B$3</f>
        <v/>
      </c>
      <c r="G19" s="15" t="n">
        <v>66.23999999999999</v>
      </c>
      <c r="H19" s="16">
        <f>G19*Settings!$B$3</f>
        <v/>
      </c>
    </row>
    <row r="20">
      <c r="A20" s="13" t="inlineStr">
        <is>
          <t>15 × 30"</t>
        </is>
      </c>
      <c r="B20" s="14" t="inlineStr">
        <is>
          <t>Panoramic</t>
        </is>
      </c>
      <c r="C20" s="15" t="n">
        <v>40.25</v>
      </c>
      <c r="D20" s="16">
        <f>C20*Settings!$B$3</f>
        <v/>
      </c>
      <c r="E20" s="15" t="n">
        <v>96</v>
      </c>
      <c r="F20" s="16">
        <f>E20*Settings!$B$3</f>
        <v/>
      </c>
      <c r="G20" s="15" t="n">
        <v>96.05</v>
      </c>
      <c r="H20" s="16">
        <f>G20*Settings!$B$3</f>
        <v/>
      </c>
    </row>
    <row r="21">
      <c r="A21" s="13" t="inlineStr">
        <is>
          <t>20 × 40"</t>
        </is>
      </c>
      <c r="B21" s="14" t="inlineStr">
        <is>
          <t>Panoramic</t>
        </is>
      </c>
      <c r="C21" s="15" t="n">
        <v>46</v>
      </c>
      <c r="D21" s="16">
        <f>C21*Settings!$B$3</f>
        <v/>
      </c>
      <c r="E21" s="15" t="n">
        <v>199.2</v>
      </c>
      <c r="F21" s="16">
        <f>E21*Settings!$B$3</f>
        <v/>
      </c>
      <c r="G21" s="15" t="n">
        <v>198.72</v>
      </c>
      <c r="H21" s="16">
        <f>G21*Settings!$B$3</f>
        <v/>
      </c>
    </row>
    <row r="22">
      <c r="A22" s="13" t="inlineStr">
        <is>
          <t>20 × 60"</t>
        </is>
      </c>
      <c r="B22" s="14" t="inlineStr">
        <is>
          <t>Panoramic</t>
        </is>
      </c>
      <c r="C22" s="15" t="n">
        <v>97.75</v>
      </c>
      <c r="D22" s="16">
        <f>C22*Settings!$B$3</f>
        <v/>
      </c>
      <c r="E22" s="15" t="n">
        <v>282</v>
      </c>
      <c r="F22" s="16">
        <f>E22*Settings!$B$3</f>
        <v/>
      </c>
      <c r="G22" s="15" t="n">
        <v>281.52</v>
      </c>
      <c r="H22" s="16">
        <f>G22*Settings!$B$3</f>
        <v/>
      </c>
    </row>
    <row r="23">
      <c r="A23" s="13" t="inlineStr">
        <is>
          <t>24 × 48"</t>
        </is>
      </c>
      <c r="B23" s="14" t="inlineStr">
        <is>
          <t>Panoramic</t>
        </is>
      </c>
      <c r="C23" s="15" t="n">
        <v>57.5</v>
      </c>
      <c r="D23" s="16">
        <f>C23*Settings!$B$3</f>
        <v/>
      </c>
      <c r="E23" s="15" t="n">
        <v>282</v>
      </c>
      <c r="F23" s="16">
        <f>E23*Settings!$B$3</f>
        <v/>
      </c>
      <c r="G23" s="15" t="n">
        <v>281.52</v>
      </c>
      <c r="H23" s="16">
        <f>G23*Settings!$B$3</f>
        <v/>
      </c>
    </row>
    <row r="24">
      <c r="A24" s="10" t="inlineStr">
        <is>
          <t xml:space="preserve">  Custom</t>
        </is>
      </c>
      <c r="B24" s="11" t="n"/>
      <c r="C24" s="11" t="n"/>
      <c r="D24" s="11" t="n"/>
      <c r="E24" s="11" t="n"/>
      <c r="F24" s="11" t="n"/>
      <c r="G24" s="11" t="n"/>
      <c r="H24" s="12" t="n"/>
    </row>
    <row r="25">
      <c r="A25" s="13" t="inlineStr">
        <is>
          <t>Custom Size</t>
        </is>
      </c>
      <c r="B25" s="14" t="inlineStr">
        <is>
          <t>Custom</t>
        </is>
      </c>
      <c r="C25" s="17" t="inlineStr">
        <is>
          <t>Enquire</t>
        </is>
      </c>
      <c r="D25" s="17" t="inlineStr">
        <is>
          <t>Enquire</t>
        </is>
      </c>
      <c r="E25" s="17" t="inlineStr">
        <is>
          <t>Enquire</t>
        </is>
      </c>
      <c r="F25" s="17" t="inlineStr">
        <is>
          <t>Enquire</t>
        </is>
      </c>
      <c r="G25" s="17" t="inlineStr">
        <is>
          <t>Enquire</t>
        </is>
      </c>
      <c r="H25" s="17" t="inlineStr">
        <is>
          <t>Enquire</t>
        </is>
      </c>
    </row>
  </sheetData>
  <mergeCells count="4">
    <mergeCell ref="A3:H3"/>
    <mergeCell ref="A16:H16"/>
    <mergeCell ref="A24:H2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2" customHeight="1">
      <c r="A1" s="6" t="inlineStr">
        <is>
          <t>Canvas Pricing</t>
        </is>
      </c>
    </row>
    <row r="2" ht="20" customHeight="1">
      <c r="A2" s="7" t="inlineStr">
        <is>
          <t>Size</t>
        </is>
      </c>
      <c r="B2" s="7" t="inlineStr">
        <is>
          <t>Format</t>
        </is>
      </c>
      <c r="C2" s="8" t="inlineStr">
        <is>
          <t>Base Cost
Stretched FA</t>
        </is>
      </c>
      <c r="D2" s="9" t="inlineStr">
        <is>
          <t>SELL PRICE
Stretched FA</t>
        </is>
      </c>
      <c r="E2" s="8" t="inlineStr">
        <is>
          <t>Base Cost
Framed Canvas</t>
        </is>
      </c>
      <c r="F2" s="9" t="inlineStr">
        <is>
          <t>SELL PRICE
Framed Canvas</t>
        </is>
      </c>
    </row>
    <row r="3">
      <c r="A3" s="10" t="inlineStr">
        <is>
          <t xml:space="preserve">  Standard Sizes</t>
        </is>
      </c>
      <c r="B3" s="11" t="n"/>
      <c r="C3" s="11" t="n"/>
      <c r="D3" s="11" t="n"/>
      <c r="E3" s="11" t="n"/>
      <c r="F3" s="12" t="n"/>
    </row>
    <row r="4">
      <c r="A4" s="13" t="inlineStr">
        <is>
          <t>8 × 10"</t>
        </is>
      </c>
      <c r="B4" s="14" t="inlineStr">
        <is>
          <t>Standard</t>
        </is>
      </c>
      <c r="C4" s="15" t="n">
        <v>52</v>
      </c>
      <c r="D4" s="16">
        <f>C4*Settings!$B$3</f>
        <v/>
      </c>
      <c r="E4" s="15" t="n">
        <v>92</v>
      </c>
      <c r="F4" s="16">
        <f>E4*Settings!$B$3</f>
        <v/>
      </c>
    </row>
    <row r="5">
      <c r="A5" s="13" t="inlineStr">
        <is>
          <t>8 × 12"</t>
        </is>
      </c>
      <c r="B5" s="14" t="inlineStr">
        <is>
          <t>Standard</t>
        </is>
      </c>
      <c r="C5" s="15" t="n">
        <v>52</v>
      </c>
      <c r="D5" s="16">
        <f>C5*Settings!$B$3</f>
        <v/>
      </c>
      <c r="E5" s="15" t="n">
        <v>92</v>
      </c>
      <c r="F5" s="16">
        <f>E5*Settings!$B$3</f>
        <v/>
      </c>
    </row>
    <row r="6">
      <c r="A6" s="13" t="inlineStr">
        <is>
          <t>10 × 12"</t>
        </is>
      </c>
      <c r="B6" s="14" t="inlineStr">
        <is>
          <t>Standard</t>
        </is>
      </c>
      <c r="C6" s="15" t="n">
        <v>60</v>
      </c>
      <c r="D6" s="16">
        <f>C6*Settings!$B$3</f>
        <v/>
      </c>
      <c r="E6" s="15" t="n">
        <v>100</v>
      </c>
      <c r="F6" s="16">
        <f>E6*Settings!$B$3</f>
        <v/>
      </c>
    </row>
    <row r="7">
      <c r="A7" s="13" t="inlineStr">
        <is>
          <t>12 × 16"</t>
        </is>
      </c>
      <c r="B7" s="14" t="inlineStr">
        <is>
          <t>Standard</t>
        </is>
      </c>
      <c r="C7" s="15" t="n">
        <v>72</v>
      </c>
      <c r="D7" s="16">
        <f>C7*Settings!$B$3</f>
        <v/>
      </c>
      <c r="E7" s="15" t="n">
        <v>132</v>
      </c>
      <c r="F7" s="16">
        <f>E7*Settings!$B$3</f>
        <v/>
      </c>
    </row>
    <row r="8">
      <c r="A8" s="13" t="inlineStr">
        <is>
          <t>16 × 20"</t>
        </is>
      </c>
      <c r="B8" s="14" t="inlineStr">
        <is>
          <t>Standard</t>
        </is>
      </c>
      <c r="C8" s="15" t="n">
        <v>99</v>
      </c>
      <c r="D8" s="16">
        <f>C8*Settings!$B$3</f>
        <v/>
      </c>
      <c r="E8" s="15" t="n">
        <v>174</v>
      </c>
      <c r="F8" s="16">
        <f>E8*Settings!$B$3</f>
        <v/>
      </c>
    </row>
    <row r="9">
      <c r="A9" s="13" t="inlineStr">
        <is>
          <t>16 × 24"</t>
        </is>
      </c>
      <c r="B9" s="14" t="inlineStr">
        <is>
          <t>Standard</t>
        </is>
      </c>
      <c r="C9" s="15" t="n">
        <v>115</v>
      </c>
      <c r="D9" s="16">
        <f>C9*Settings!$B$3</f>
        <v/>
      </c>
      <c r="E9" s="15" t="n">
        <v>200</v>
      </c>
      <c r="F9" s="16">
        <f>E9*Settings!$B$3</f>
        <v/>
      </c>
    </row>
    <row r="10">
      <c r="A10" s="13" t="inlineStr">
        <is>
          <t>20 × 24"</t>
        </is>
      </c>
      <c r="B10" s="14" t="inlineStr">
        <is>
          <t>Standard</t>
        </is>
      </c>
      <c r="C10" s="15" t="n">
        <v>130</v>
      </c>
      <c r="D10" s="16">
        <f>C10*Settings!$B$3</f>
        <v/>
      </c>
      <c r="E10" s="15" t="n">
        <v>220</v>
      </c>
      <c r="F10" s="16">
        <f>E10*Settings!$B$3</f>
        <v/>
      </c>
    </row>
    <row r="11">
      <c r="A11" s="13" t="inlineStr">
        <is>
          <t>20 × 30"</t>
        </is>
      </c>
      <c r="B11" s="14" t="inlineStr">
        <is>
          <t>Standard</t>
        </is>
      </c>
      <c r="C11" s="15" t="n">
        <v>165</v>
      </c>
      <c r="D11" s="16">
        <f>C11*Settings!$B$3</f>
        <v/>
      </c>
      <c r="E11" s="15" t="n">
        <v>265</v>
      </c>
      <c r="F11" s="16">
        <f>E11*Settings!$B$3</f>
        <v/>
      </c>
    </row>
    <row r="12">
      <c r="A12" s="13" t="inlineStr">
        <is>
          <t>24 × 36"</t>
        </is>
      </c>
      <c r="B12" s="14" t="inlineStr">
        <is>
          <t>Standard</t>
        </is>
      </c>
      <c r="C12" s="15" t="n">
        <v>220</v>
      </c>
      <c r="D12" s="16">
        <f>C12*Settings!$B$3</f>
        <v/>
      </c>
      <c r="E12" s="15" t="n">
        <v>345</v>
      </c>
      <c r="F12" s="16">
        <f>E12*Settings!$B$3</f>
        <v/>
      </c>
    </row>
    <row r="13">
      <c r="A13" s="13" t="inlineStr">
        <is>
          <t>30 × 40"</t>
        </is>
      </c>
      <c r="B13" s="14" t="inlineStr">
        <is>
          <t>Standard</t>
        </is>
      </c>
      <c r="C13" s="15" t="n">
        <v>250</v>
      </c>
      <c r="D13" s="16">
        <f>C13*Settings!$B$3</f>
        <v/>
      </c>
      <c r="E13" s="15" t="n">
        <v>395</v>
      </c>
      <c r="F13" s="16">
        <f>E13*Settings!$B$3</f>
        <v/>
      </c>
    </row>
    <row r="14">
      <c r="A14" s="13" t="inlineStr">
        <is>
          <t>30 × 45"</t>
        </is>
      </c>
      <c r="B14" s="14" t="inlineStr">
        <is>
          <t>Standard</t>
        </is>
      </c>
      <c r="C14" s="15" t="n">
        <v>288</v>
      </c>
      <c r="D14" s="16">
        <f>C14*Settings!$B$3</f>
        <v/>
      </c>
      <c r="E14" s="15" t="n">
        <v>443</v>
      </c>
      <c r="F14" s="16">
        <f>E14*Settings!$B$3</f>
        <v/>
      </c>
    </row>
    <row r="15">
      <c r="A15" s="13" t="inlineStr">
        <is>
          <t>40 × 60"</t>
        </is>
      </c>
      <c r="B15" s="14" t="inlineStr">
        <is>
          <t>Standard</t>
        </is>
      </c>
      <c r="C15" s="15" t="n">
        <v>425</v>
      </c>
      <c r="D15" s="16">
        <f>C15*Settings!$B$3</f>
        <v/>
      </c>
      <c r="E15" s="15" t="n">
        <v>625</v>
      </c>
      <c r="F15" s="16">
        <f>E15*Settings!$B$3</f>
        <v/>
      </c>
    </row>
    <row r="16">
      <c r="A16" s="10" t="inlineStr">
        <is>
          <t xml:space="preserve">  Square Sizes</t>
        </is>
      </c>
      <c r="B16" s="11" t="n"/>
      <c r="C16" s="11" t="n"/>
      <c r="D16" s="11" t="n"/>
      <c r="E16" s="11" t="n"/>
      <c r="F16" s="12" t="n"/>
    </row>
    <row r="17">
      <c r="A17" s="13" t="inlineStr">
        <is>
          <t>8 × 8"</t>
        </is>
      </c>
      <c r="B17" s="14" t="inlineStr">
        <is>
          <t>Square</t>
        </is>
      </c>
      <c r="C17" s="15" t="n">
        <v>52</v>
      </c>
      <c r="D17" s="16">
        <f>C17*Settings!$B$3</f>
        <v/>
      </c>
      <c r="E17" s="15" t="n">
        <v>98</v>
      </c>
      <c r="F17" s="16">
        <f>E17*Settings!$B$3</f>
        <v/>
      </c>
    </row>
    <row r="18">
      <c r="A18" s="13" t="inlineStr">
        <is>
          <t>10 × 10"</t>
        </is>
      </c>
      <c r="B18" s="14" t="inlineStr">
        <is>
          <t>Square</t>
        </is>
      </c>
      <c r="C18" s="15" t="n">
        <v>58</v>
      </c>
      <c r="D18" s="16">
        <f>C18*Settings!$B$3</f>
        <v/>
      </c>
      <c r="E18" s="15" t="n">
        <v>98</v>
      </c>
      <c r="F18" s="16">
        <f>E18*Settings!$B$3</f>
        <v/>
      </c>
    </row>
    <row r="19">
      <c r="A19" s="13" t="inlineStr">
        <is>
          <t>12 × 12"</t>
        </is>
      </c>
      <c r="B19" s="14" t="inlineStr">
        <is>
          <t>Square</t>
        </is>
      </c>
      <c r="C19" s="15" t="n">
        <v>58</v>
      </c>
      <c r="D19" s="16">
        <f>C19*Settings!$B$3</f>
        <v/>
      </c>
      <c r="E19" s="15" t="n">
        <v>108</v>
      </c>
      <c r="F19" s="16">
        <f>E19*Settings!$B$3</f>
        <v/>
      </c>
    </row>
    <row r="20">
      <c r="A20" s="13" t="inlineStr">
        <is>
          <t>16 × 16"</t>
        </is>
      </c>
      <c r="B20" s="14" t="inlineStr">
        <is>
          <t>Square</t>
        </is>
      </c>
      <c r="C20" s="15" t="n">
        <v>86</v>
      </c>
      <c r="D20" s="16">
        <f>C20*Settings!$B$3</f>
        <v/>
      </c>
      <c r="E20" s="15" t="n">
        <v>151</v>
      </c>
      <c r="F20" s="16">
        <f>E20*Settings!$B$3</f>
        <v/>
      </c>
    </row>
    <row r="21">
      <c r="A21" s="13" t="inlineStr">
        <is>
          <t>20 × 20"</t>
        </is>
      </c>
      <c r="B21" s="14" t="inlineStr">
        <is>
          <t>Square</t>
        </is>
      </c>
      <c r="C21" s="15" t="n">
        <v>115</v>
      </c>
      <c r="D21" s="16">
        <f>C21*Settings!$B$3</f>
        <v/>
      </c>
      <c r="E21" s="15" t="n">
        <v>200</v>
      </c>
      <c r="F21" s="16">
        <f>E21*Settings!$B$3</f>
        <v/>
      </c>
    </row>
    <row r="22">
      <c r="A22" s="13" t="inlineStr">
        <is>
          <t>24 × 24"</t>
        </is>
      </c>
      <c r="B22" s="14" t="inlineStr">
        <is>
          <t>Square</t>
        </is>
      </c>
      <c r="C22" s="15" t="n">
        <v>145</v>
      </c>
      <c r="D22" s="16">
        <f>C22*Settings!$B$3</f>
        <v/>
      </c>
      <c r="E22" s="15" t="n">
        <v>245</v>
      </c>
      <c r="F22" s="16">
        <f>E22*Settings!$B$3</f>
        <v/>
      </c>
    </row>
    <row r="23">
      <c r="A23" s="13" t="inlineStr">
        <is>
          <t>30 × 30"</t>
        </is>
      </c>
      <c r="B23" s="14" t="inlineStr">
        <is>
          <t>Square</t>
        </is>
      </c>
      <c r="C23" s="15" t="n">
        <v>225</v>
      </c>
      <c r="D23" s="16">
        <f>C23*Settings!$B$3</f>
        <v/>
      </c>
      <c r="E23" s="15" t="n">
        <v>350</v>
      </c>
      <c r="F23" s="16">
        <f>E23*Settings!$B$3</f>
        <v/>
      </c>
    </row>
    <row r="24">
      <c r="A24" s="10" t="inlineStr">
        <is>
          <t xml:space="preserve">  Panoramic Sizes</t>
        </is>
      </c>
      <c r="B24" s="11" t="n"/>
      <c r="C24" s="11" t="n"/>
      <c r="D24" s="11" t="n"/>
      <c r="E24" s="11" t="n"/>
      <c r="F24" s="12" t="n"/>
    </row>
    <row r="25">
      <c r="A25" s="13" t="inlineStr">
        <is>
          <t>10 × 20"</t>
        </is>
      </c>
      <c r="B25" s="14" t="inlineStr">
        <is>
          <t>Panoramic</t>
        </is>
      </c>
      <c r="C25" s="15" t="n">
        <v>67</v>
      </c>
      <c r="D25" s="16">
        <f>C25*Settings!$B$3</f>
        <v/>
      </c>
      <c r="E25" s="15" t="n">
        <v>132</v>
      </c>
      <c r="F25" s="16">
        <f>E25*Settings!$B$3</f>
        <v/>
      </c>
    </row>
    <row r="26">
      <c r="A26" s="13" t="inlineStr">
        <is>
          <t>10 × 30"</t>
        </is>
      </c>
      <c r="B26" s="14" t="inlineStr">
        <is>
          <t>Panoramic</t>
        </is>
      </c>
      <c r="C26" s="15" t="n">
        <v>92</v>
      </c>
      <c r="D26" s="16">
        <f>C26*Settings!$B$3</f>
        <v/>
      </c>
      <c r="E26" s="15" t="n">
        <v>177</v>
      </c>
      <c r="F26" s="16">
        <f>E26*Settings!$B$3</f>
        <v/>
      </c>
    </row>
    <row r="27">
      <c r="A27" s="13" t="inlineStr">
        <is>
          <t>15 × 30"</t>
        </is>
      </c>
      <c r="B27" s="14" t="inlineStr">
        <is>
          <t>Panoramic</t>
        </is>
      </c>
      <c r="C27" s="15" t="n">
        <v>130</v>
      </c>
      <c r="D27" s="16">
        <f>C27*Settings!$B$3</f>
        <v/>
      </c>
      <c r="E27" s="15" t="n">
        <v>225</v>
      </c>
      <c r="F27" s="16">
        <f>E27*Settings!$B$3</f>
        <v/>
      </c>
    </row>
    <row r="28">
      <c r="A28" s="13" t="inlineStr">
        <is>
          <t>15 × 45"</t>
        </is>
      </c>
      <c r="B28" s="14" t="inlineStr">
        <is>
          <t>Panoramic</t>
        </is>
      </c>
      <c r="C28" s="15" t="n">
        <v>175</v>
      </c>
      <c r="D28" s="16">
        <f>C28*Settings!$B$3</f>
        <v/>
      </c>
      <c r="E28" s="15" t="n">
        <v>300</v>
      </c>
      <c r="F28" s="16">
        <f>E28*Settings!$B$3</f>
        <v/>
      </c>
    </row>
    <row r="29">
      <c r="A29" s="13" t="inlineStr">
        <is>
          <t>20 × 40"</t>
        </is>
      </c>
      <c r="B29" s="14" t="inlineStr">
        <is>
          <t>Panoramic</t>
        </is>
      </c>
      <c r="C29" s="15" t="n">
        <v>213</v>
      </c>
      <c r="D29" s="16">
        <f>C29*Settings!$B$3</f>
        <v/>
      </c>
      <c r="E29" s="15" t="n">
        <v>338</v>
      </c>
      <c r="F29" s="16">
        <f>E29*Settings!$B$3</f>
        <v/>
      </c>
    </row>
    <row r="30">
      <c r="A30" s="13" t="inlineStr">
        <is>
          <t>20 × 60"</t>
        </is>
      </c>
      <c r="B30" s="14" t="inlineStr">
        <is>
          <t>Panoramic</t>
        </is>
      </c>
      <c r="C30" s="15" t="n">
        <v>276</v>
      </c>
      <c r="D30" s="16">
        <f>C30*Settings!$B$3</f>
        <v/>
      </c>
      <c r="E30" s="15" t="n">
        <v>441</v>
      </c>
      <c r="F30" s="16">
        <f>E30*Settings!$B$3</f>
        <v/>
      </c>
    </row>
    <row r="31">
      <c r="A31" s="13" t="inlineStr">
        <is>
          <t>24 × 48"</t>
        </is>
      </c>
      <c r="B31" s="14" t="inlineStr">
        <is>
          <t>Panoramic</t>
        </is>
      </c>
      <c r="C31" s="15" t="n">
        <v>270</v>
      </c>
      <c r="D31" s="16">
        <f>C31*Settings!$B$3</f>
        <v/>
      </c>
      <c r="E31" s="15" t="n">
        <v>415</v>
      </c>
      <c r="F31" s="16">
        <f>E31*Settings!$B$3</f>
        <v/>
      </c>
    </row>
    <row r="32">
      <c r="A32" s="13" t="inlineStr">
        <is>
          <t>30 × 60"</t>
        </is>
      </c>
      <c r="B32" s="14" t="inlineStr">
        <is>
          <t>Panoramic</t>
        </is>
      </c>
      <c r="C32" s="15" t="n">
        <v>360</v>
      </c>
      <c r="D32" s="16">
        <f>C32*Settings!$B$3</f>
        <v/>
      </c>
      <c r="E32" s="15" t="n">
        <v>545</v>
      </c>
      <c r="F32" s="16">
        <f>E32*Settings!$B$3</f>
        <v/>
      </c>
    </row>
    <row r="33">
      <c r="A33" s="13" t="inlineStr">
        <is>
          <t>40 × 80"</t>
        </is>
      </c>
      <c r="B33" s="14" t="inlineStr">
        <is>
          <t>Panoramic</t>
        </is>
      </c>
      <c r="C33" s="15" t="n">
        <v>529</v>
      </c>
      <c r="D33" s="16">
        <f>C33*Settings!$B$3</f>
        <v/>
      </c>
      <c r="E33" s="15" t="n">
        <v>789</v>
      </c>
      <c r="F33" s="16">
        <f>E33*Settings!$B$3</f>
        <v/>
      </c>
    </row>
    <row r="34">
      <c r="A34" s="10" t="inlineStr">
        <is>
          <t xml:space="preserve">  Custom</t>
        </is>
      </c>
      <c r="B34" s="11" t="n"/>
      <c r="C34" s="11" t="n"/>
      <c r="D34" s="11" t="n"/>
      <c r="E34" s="11" t="n"/>
      <c r="F34" s="12" t="n"/>
    </row>
    <row r="35">
      <c r="A35" s="13" t="inlineStr">
        <is>
          <t>Custom Size</t>
        </is>
      </c>
      <c r="B35" s="14" t="inlineStr">
        <is>
          <t>Custom</t>
        </is>
      </c>
      <c r="C35" s="17" t="inlineStr">
        <is>
          <t>Enquire</t>
        </is>
      </c>
      <c r="D35" s="17" t="inlineStr">
        <is>
          <t>Enquire</t>
        </is>
      </c>
      <c r="E35" s="17" t="inlineStr">
        <is>
          <t>Enquire</t>
        </is>
      </c>
      <c r="F35" s="17" t="inlineStr">
        <is>
          <t>Enquire</t>
        </is>
      </c>
    </row>
  </sheetData>
  <mergeCells count="5">
    <mergeCell ref="A24:F24"/>
    <mergeCell ref="A16:F16"/>
    <mergeCell ref="A1:F1"/>
    <mergeCell ref="A34:F34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Metal Print Pricing</t>
        </is>
      </c>
    </row>
    <row r="2" ht="20" customHeight="1">
      <c r="A2" s="7" t="inlineStr">
        <is>
          <t>Size</t>
        </is>
      </c>
      <c r="B2" s="7" t="inlineStr">
        <is>
          <t>Format</t>
        </is>
      </c>
      <c r="C2" s="8" t="inlineStr">
        <is>
          <t>Base Cost
Print Only</t>
        </is>
      </c>
      <c r="D2" s="9" t="inlineStr">
        <is>
          <t>SELL PRICE
Print Only</t>
        </is>
      </c>
      <c r="E2" s="8" t="inlineStr">
        <is>
          <t>Base Cost
Concealed Mount</t>
        </is>
      </c>
      <c r="F2" s="9" t="inlineStr">
        <is>
          <t>SELL PRICE
Concealed Mount</t>
        </is>
      </c>
      <c r="G2" s="8" t="inlineStr">
        <is>
          <t>Base Cost
Float Framed</t>
        </is>
      </c>
      <c r="H2" s="9" t="inlineStr">
        <is>
          <t>SELL PRICE
Float Framed</t>
        </is>
      </c>
    </row>
    <row r="3">
      <c r="A3" s="10" t="inlineStr">
        <is>
          <t xml:space="preserve">  Standard Sizes</t>
        </is>
      </c>
      <c r="B3" s="11" t="n"/>
      <c r="C3" s="11" t="n"/>
      <c r="D3" s="11" t="n"/>
      <c r="E3" s="11" t="n"/>
      <c r="F3" s="11" t="n"/>
      <c r="G3" s="11" t="n"/>
      <c r="H3" s="12" t="n"/>
    </row>
    <row r="4">
      <c r="A4" s="13" t="inlineStr">
        <is>
          <t>8 × 10"</t>
        </is>
      </c>
      <c r="B4" s="14" t="inlineStr">
        <is>
          <t>Standard</t>
        </is>
      </c>
      <c r="C4" s="15" t="n">
        <v>19.95</v>
      </c>
      <c r="D4" s="16">
        <f>C4*Settings!$B$3</f>
        <v/>
      </c>
      <c r="E4" s="15" t="n">
        <v>39.95</v>
      </c>
      <c r="F4" s="16">
        <f>E4*Settings!$B$3</f>
        <v/>
      </c>
      <c r="G4" s="15" t="n">
        <v>75.95</v>
      </c>
      <c r="H4" s="16">
        <f>G4*Settings!$B$3</f>
        <v/>
      </c>
    </row>
    <row r="5">
      <c r="A5" s="13" t="inlineStr">
        <is>
          <t>8 × 12"</t>
        </is>
      </c>
      <c r="B5" s="14" t="inlineStr">
        <is>
          <t>Standard</t>
        </is>
      </c>
      <c r="C5" s="15" t="n">
        <v>22.95</v>
      </c>
      <c r="D5" s="16">
        <f>C5*Settings!$B$3</f>
        <v/>
      </c>
      <c r="E5" s="15" t="n">
        <v>45</v>
      </c>
      <c r="F5" s="16">
        <f>E5*Settings!$B$3</f>
        <v/>
      </c>
      <c r="G5" s="15" t="n">
        <v>78.95</v>
      </c>
      <c r="H5" s="16">
        <f>G5*Settings!$B$3</f>
        <v/>
      </c>
    </row>
    <row r="6">
      <c r="A6" s="13" t="inlineStr">
        <is>
          <t>11 × 14"</t>
        </is>
      </c>
      <c r="B6" s="14" t="inlineStr">
        <is>
          <t>Standard</t>
        </is>
      </c>
      <c r="C6" s="15" t="n">
        <v>29.95</v>
      </c>
      <c r="D6" s="16">
        <f>C6*Settings!$B$3</f>
        <v/>
      </c>
      <c r="E6" s="15" t="n">
        <v>49.95</v>
      </c>
      <c r="F6" s="16">
        <f>E6*Settings!$B$3</f>
        <v/>
      </c>
      <c r="G6" s="15" t="n">
        <v>98.95</v>
      </c>
      <c r="H6" s="16">
        <f>G6*Settings!$B$3</f>
        <v/>
      </c>
    </row>
    <row r="7">
      <c r="A7" s="13" t="inlineStr">
        <is>
          <t>12 × 16"</t>
        </is>
      </c>
      <c r="B7" s="14" t="inlineStr">
        <is>
          <t>Standard</t>
        </is>
      </c>
      <c r="C7" s="15" t="n">
        <v>33.5</v>
      </c>
      <c r="D7" s="16">
        <f>C7*Settings!$B$3</f>
        <v/>
      </c>
      <c r="E7" s="15" t="n">
        <v>55</v>
      </c>
      <c r="F7" s="16">
        <f>E7*Settings!$B$3</f>
        <v/>
      </c>
      <c r="G7" s="15" t="n">
        <v>121.5</v>
      </c>
      <c r="H7" s="16">
        <f>G7*Settings!$B$3</f>
        <v/>
      </c>
    </row>
    <row r="8">
      <c r="A8" s="13" t="inlineStr">
        <is>
          <t>16 × 20"</t>
        </is>
      </c>
      <c r="B8" s="14" t="inlineStr">
        <is>
          <t>Standard</t>
        </is>
      </c>
      <c r="C8" s="15" t="n">
        <v>39.95</v>
      </c>
      <c r="D8" s="16">
        <f>C8*Settings!$B$3</f>
        <v/>
      </c>
      <c r="E8" s="15" t="n">
        <v>65</v>
      </c>
      <c r="F8" s="16">
        <f>E8*Settings!$B$3</f>
        <v/>
      </c>
      <c r="G8" s="15" t="n">
        <v>137.95</v>
      </c>
      <c r="H8" s="16">
        <f>G8*Settings!$B$3</f>
        <v/>
      </c>
    </row>
    <row r="9">
      <c r="A9" s="13" t="inlineStr">
        <is>
          <t>16 × 24"</t>
        </is>
      </c>
      <c r="B9" s="14" t="inlineStr">
        <is>
          <t>Standard</t>
        </is>
      </c>
      <c r="C9" s="15" t="n">
        <v>55</v>
      </c>
      <c r="D9" s="16">
        <f>C9*Settings!$B$3</f>
        <v/>
      </c>
      <c r="E9" s="15" t="n">
        <v>85</v>
      </c>
      <c r="F9" s="16">
        <f>E9*Settings!$B$3</f>
        <v/>
      </c>
      <c r="G9" s="15" t="n">
        <v>161</v>
      </c>
      <c r="H9" s="16">
        <f>G9*Settings!$B$3</f>
        <v/>
      </c>
    </row>
    <row r="10">
      <c r="A10" s="13" t="inlineStr">
        <is>
          <t>20 × 24"</t>
        </is>
      </c>
      <c r="B10" s="14" t="inlineStr">
        <is>
          <t>Standard</t>
        </is>
      </c>
      <c r="C10" s="15" t="n">
        <v>60</v>
      </c>
      <c r="D10" s="16">
        <f>C10*Settings!$B$3</f>
        <v/>
      </c>
      <c r="E10" s="15" t="n">
        <v>95</v>
      </c>
      <c r="F10" s="16">
        <f>E10*Settings!$B$3</f>
        <v/>
      </c>
      <c r="G10" s="15" t="n">
        <v>179</v>
      </c>
      <c r="H10" s="16">
        <f>G10*Settings!$B$3</f>
        <v/>
      </c>
    </row>
    <row r="11">
      <c r="A11" s="13" t="inlineStr">
        <is>
          <t>20 × 30"</t>
        </is>
      </c>
      <c r="B11" s="14" t="inlineStr">
        <is>
          <t>Standard</t>
        </is>
      </c>
      <c r="C11" s="15" t="n">
        <v>79.95</v>
      </c>
      <c r="D11" s="16">
        <f>C11*Settings!$B$3</f>
        <v/>
      </c>
      <c r="E11" s="15" t="n">
        <v>115</v>
      </c>
      <c r="F11" s="16">
        <f>E11*Settings!$B$3</f>
        <v/>
      </c>
      <c r="G11" s="15" t="n">
        <v>204.95</v>
      </c>
      <c r="H11" s="16">
        <f>G11*Settings!$B$3</f>
        <v/>
      </c>
    </row>
    <row r="12">
      <c r="A12" s="13" t="inlineStr">
        <is>
          <t>24 × 36"</t>
        </is>
      </c>
      <c r="B12" s="14" t="inlineStr">
        <is>
          <t>Standard</t>
        </is>
      </c>
      <c r="C12" s="15" t="n">
        <v>125</v>
      </c>
      <c r="D12" s="16">
        <f>C12*Settings!$B$3</f>
        <v/>
      </c>
      <c r="E12" s="15" t="n">
        <v>165</v>
      </c>
      <c r="F12" s="16">
        <f>E12*Settings!$B$3</f>
        <v/>
      </c>
      <c r="G12" s="15" t="n">
        <v>281</v>
      </c>
      <c r="H12" s="16">
        <f>G12*Settings!$B$3</f>
        <v/>
      </c>
    </row>
    <row r="13">
      <c r="A13" s="13" t="inlineStr">
        <is>
          <t>30 × 40"</t>
        </is>
      </c>
      <c r="B13" s="14" t="inlineStr">
        <is>
          <t>Standard</t>
        </is>
      </c>
      <c r="C13" s="15" t="n">
        <v>145</v>
      </c>
      <c r="D13" s="16">
        <f>C13*Settings!$B$3</f>
        <v/>
      </c>
      <c r="E13" s="15" t="n">
        <v>189</v>
      </c>
      <c r="F13" s="16">
        <f>E13*Settings!$B$3</f>
        <v/>
      </c>
      <c r="G13" s="15" t="n">
        <v>326</v>
      </c>
      <c r="H13" s="16">
        <f>G13*Settings!$B$3</f>
        <v/>
      </c>
    </row>
    <row r="14">
      <c r="A14" s="13" t="inlineStr">
        <is>
          <t>30 × 45"</t>
        </is>
      </c>
      <c r="B14" s="14" t="inlineStr">
        <is>
          <t>Standard</t>
        </is>
      </c>
      <c r="C14" s="15" t="n">
        <v>155</v>
      </c>
      <c r="D14" s="16">
        <f>C14*Settings!$B$3</f>
        <v/>
      </c>
      <c r="E14" s="15" t="n">
        <v>199.95</v>
      </c>
      <c r="F14" s="16">
        <f>E14*Settings!$B$3</f>
        <v/>
      </c>
      <c r="G14" s="15" t="n">
        <v>345</v>
      </c>
      <c r="H14" s="16">
        <f>G14*Settings!$B$3</f>
        <v/>
      </c>
    </row>
    <row r="15">
      <c r="A15" s="13" t="inlineStr">
        <is>
          <t>40 × 60"</t>
        </is>
      </c>
      <c r="B15" s="14" t="inlineStr">
        <is>
          <t>Standard</t>
        </is>
      </c>
      <c r="C15" s="15" t="n">
        <v>315</v>
      </c>
      <c r="D15" s="16">
        <f>C15*Settings!$B$3</f>
        <v/>
      </c>
      <c r="E15" s="15" t="n">
        <v>395</v>
      </c>
      <c r="F15" s="16">
        <f>E15*Settings!$B$3</f>
        <v/>
      </c>
      <c r="G15" s="15" t="n">
        <v>595</v>
      </c>
      <c r="H15" s="16">
        <f>G15*Settings!$B$3</f>
        <v/>
      </c>
    </row>
    <row r="16">
      <c r="A16" s="10" t="inlineStr">
        <is>
          <t xml:space="preserve">  Square Sizes</t>
        </is>
      </c>
      <c r="B16" s="11" t="n"/>
      <c r="C16" s="11" t="n"/>
      <c r="D16" s="11" t="n"/>
      <c r="E16" s="11" t="n"/>
      <c r="F16" s="11" t="n"/>
      <c r="G16" s="11" t="n"/>
      <c r="H16" s="12" t="n"/>
    </row>
    <row r="17">
      <c r="A17" s="13" t="inlineStr">
        <is>
          <t>10 × 10"</t>
        </is>
      </c>
      <c r="B17" s="14" t="inlineStr">
        <is>
          <t>Square</t>
        </is>
      </c>
      <c r="C17" s="15" t="n">
        <v>19.95</v>
      </c>
      <c r="D17" s="16">
        <f>C17*Settings!$B$3</f>
        <v/>
      </c>
      <c r="E17" s="15" t="n">
        <v>39.95</v>
      </c>
      <c r="F17" s="16">
        <f>E17*Settings!$B$3</f>
        <v/>
      </c>
      <c r="G17" s="15" t="n">
        <v>82.95</v>
      </c>
      <c r="H17" s="16">
        <f>G17*Settings!$B$3</f>
        <v/>
      </c>
    </row>
    <row r="18">
      <c r="A18" s="13" t="inlineStr">
        <is>
          <t>12 × 12"</t>
        </is>
      </c>
      <c r="B18" s="14" t="inlineStr">
        <is>
          <t>Square</t>
        </is>
      </c>
      <c r="C18" s="15" t="n">
        <v>25</v>
      </c>
      <c r="D18" s="16">
        <f>C18*Settings!$B$3</f>
        <v/>
      </c>
      <c r="E18" s="15" t="n">
        <v>45</v>
      </c>
      <c r="F18" s="16">
        <f>E18*Settings!$B$3</f>
        <v/>
      </c>
      <c r="G18" s="15" t="n">
        <v>103</v>
      </c>
      <c r="H18" s="16">
        <f>G18*Settings!$B$3</f>
        <v/>
      </c>
    </row>
    <row r="19">
      <c r="A19" s="13" t="inlineStr">
        <is>
          <t>16 × 16"</t>
        </is>
      </c>
      <c r="B19" s="14" t="inlineStr">
        <is>
          <t>Square</t>
        </is>
      </c>
      <c r="C19" s="15" t="n">
        <v>43</v>
      </c>
      <c r="D19" s="16">
        <f>C19*Settings!$B$3</f>
        <v/>
      </c>
      <c r="E19" s="15" t="n">
        <v>69</v>
      </c>
      <c r="F19" s="16">
        <f>E19*Settings!$B$3</f>
        <v/>
      </c>
      <c r="G19" s="15" t="n">
        <v>124</v>
      </c>
      <c r="H19" s="16">
        <f>G19*Settings!$B$3</f>
        <v/>
      </c>
    </row>
    <row r="20">
      <c r="A20" s="13" t="inlineStr">
        <is>
          <t>20 × 20"</t>
        </is>
      </c>
      <c r="B20" s="14" t="inlineStr">
        <is>
          <t>Square</t>
        </is>
      </c>
      <c r="C20" s="15" t="n">
        <v>55</v>
      </c>
      <c r="D20" s="16">
        <f>C20*Settings!$B$3</f>
        <v/>
      </c>
      <c r="E20" s="15" t="n">
        <v>85</v>
      </c>
      <c r="F20" s="16">
        <f>E20*Settings!$B$3</f>
        <v/>
      </c>
      <c r="G20" s="15" t="n">
        <v>161</v>
      </c>
      <c r="H20" s="16">
        <f>G20*Settings!$B$3</f>
        <v/>
      </c>
    </row>
    <row r="21">
      <c r="A21" s="13" t="inlineStr">
        <is>
          <t>24 × 24"</t>
        </is>
      </c>
      <c r="B21" s="14" t="inlineStr">
        <is>
          <t>Square</t>
        </is>
      </c>
      <c r="C21" s="15" t="n">
        <v>115</v>
      </c>
      <c r="D21" s="16">
        <f>C21*Settings!$B$3</f>
        <v/>
      </c>
      <c r="E21" s="15" t="n">
        <v>145</v>
      </c>
      <c r="F21" s="16">
        <f>E21*Settings!$B$3</f>
        <v/>
      </c>
      <c r="G21" s="15" t="n">
        <v>253</v>
      </c>
      <c r="H21" s="16">
        <f>G21*Settings!$B$3</f>
        <v/>
      </c>
    </row>
    <row r="22">
      <c r="A22" s="13" t="inlineStr">
        <is>
          <t>30 × 30"</t>
        </is>
      </c>
      <c r="B22" s="14" t="inlineStr">
        <is>
          <t>Square</t>
        </is>
      </c>
      <c r="C22" s="15" t="n">
        <v>135</v>
      </c>
      <c r="D22" s="16">
        <f>C22*Settings!$B$3</f>
        <v/>
      </c>
      <c r="E22" s="15" t="n">
        <v>169</v>
      </c>
      <c r="F22" s="16">
        <f>E22*Settings!$B$3</f>
        <v/>
      </c>
      <c r="G22" s="15" t="n">
        <v>298</v>
      </c>
      <c r="H22" s="16">
        <f>G22*Settings!$B$3</f>
        <v/>
      </c>
    </row>
    <row r="23">
      <c r="A23" s="10" t="inlineStr">
        <is>
          <t xml:space="preserve">  Panoramic Sizes</t>
        </is>
      </c>
      <c r="B23" s="11" t="n"/>
      <c r="C23" s="11" t="n"/>
      <c r="D23" s="11" t="n"/>
      <c r="E23" s="11" t="n"/>
      <c r="F23" s="11" t="n"/>
      <c r="G23" s="11" t="n"/>
      <c r="H23" s="12" t="n"/>
    </row>
    <row r="24">
      <c r="A24" s="13" t="inlineStr">
        <is>
          <t>10 × 20"</t>
        </is>
      </c>
      <c r="B24" s="14" t="inlineStr">
        <is>
          <t>Panoramic</t>
        </is>
      </c>
      <c r="C24" s="15" t="n">
        <v>29.95</v>
      </c>
      <c r="D24" s="16">
        <f>C24*Settings!$B$3</f>
        <v/>
      </c>
      <c r="E24" s="15" t="n">
        <v>55</v>
      </c>
      <c r="F24" s="16">
        <f>E24*Settings!$B$3</f>
        <v/>
      </c>
      <c r="G24" s="15" t="n">
        <v>94.95</v>
      </c>
      <c r="H24" s="16">
        <f>G24*Settings!$B$3</f>
        <v/>
      </c>
    </row>
    <row r="25">
      <c r="A25" s="13" t="inlineStr">
        <is>
          <t>10 × 30"</t>
        </is>
      </c>
      <c r="B25" s="14" t="inlineStr">
        <is>
          <t>Panoramic</t>
        </is>
      </c>
      <c r="C25" s="15" t="n">
        <v>49</v>
      </c>
      <c r="D25" s="16">
        <f>C25*Settings!$B$3</f>
        <v/>
      </c>
      <c r="E25" s="15" t="n">
        <v>79</v>
      </c>
      <c r="F25" s="16">
        <f>E25*Settings!$B$3</f>
        <v/>
      </c>
      <c r="G25" s="15" t="n">
        <v>134</v>
      </c>
      <c r="H25" s="16">
        <f>G25*Settings!$B$3</f>
        <v/>
      </c>
    </row>
    <row r="26">
      <c r="A26" s="13" t="inlineStr">
        <is>
          <t>12 × 24"</t>
        </is>
      </c>
      <c r="B26" s="14" t="inlineStr">
        <is>
          <t>Panoramic</t>
        </is>
      </c>
      <c r="C26" s="15" t="n">
        <v>39.95</v>
      </c>
      <c r="D26" s="16">
        <f>C26*Settings!$B$3</f>
        <v/>
      </c>
      <c r="E26" s="15" t="n">
        <v>69</v>
      </c>
      <c r="F26" s="16">
        <f>E26*Settings!$B$3</f>
        <v/>
      </c>
      <c r="G26" s="15" t="n">
        <v>133.95</v>
      </c>
      <c r="H26" s="16">
        <f>G26*Settings!$B$3</f>
        <v/>
      </c>
    </row>
    <row r="27">
      <c r="A27" s="13" t="inlineStr">
        <is>
          <t>15 × 30"</t>
        </is>
      </c>
      <c r="B27" s="14" t="inlineStr">
        <is>
          <t>Panoramic</t>
        </is>
      </c>
      <c r="C27" s="15" t="n">
        <v>75</v>
      </c>
      <c r="D27" s="16">
        <f>C27*Settings!$B$3</f>
        <v/>
      </c>
      <c r="E27" s="15" t="n">
        <v>110</v>
      </c>
      <c r="F27" s="16">
        <f>E27*Settings!$B$3</f>
        <v/>
      </c>
      <c r="G27" s="15" t="n">
        <v>190</v>
      </c>
      <c r="H27" s="16">
        <f>G27*Settings!$B$3</f>
        <v/>
      </c>
    </row>
    <row r="28">
      <c r="A28" s="13" t="inlineStr">
        <is>
          <t>15 × 45"</t>
        </is>
      </c>
      <c r="B28" s="14" t="inlineStr">
        <is>
          <t>Panoramic</t>
        </is>
      </c>
      <c r="C28" s="15" t="n">
        <v>99</v>
      </c>
      <c r="D28" s="16">
        <f>C28*Settings!$B$3</f>
        <v/>
      </c>
      <c r="E28" s="15" t="n">
        <v>135</v>
      </c>
      <c r="F28" s="16">
        <f>E28*Settings!$B$3</f>
        <v/>
      </c>
      <c r="G28" s="15" t="n">
        <v>224</v>
      </c>
      <c r="H28" s="16">
        <f>G28*Settings!$B$3</f>
        <v/>
      </c>
    </row>
    <row r="29">
      <c r="A29" s="13" t="inlineStr">
        <is>
          <t>20 × 40"</t>
        </is>
      </c>
      <c r="B29" s="14" t="inlineStr">
        <is>
          <t>Panoramic</t>
        </is>
      </c>
      <c r="C29" s="15" t="n">
        <v>165</v>
      </c>
      <c r="D29" s="16">
        <f>C29*Settings!$B$3</f>
        <v/>
      </c>
      <c r="E29" s="15" t="n">
        <v>210</v>
      </c>
      <c r="F29" s="16">
        <f>E29*Settings!$B$3</f>
        <v/>
      </c>
      <c r="G29" s="15" t="n">
        <v>321</v>
      </c>
      <c r="H29" s="16">
        <f>G29*Settings!$B$3</f>
        <v/>
      </c>
    </row>
    <row r="30">
      <c r="A30" s="13" t="inlineStr">
        <is>
          <t>20 × 60"</t>
        </is>
      </c>
      <c r="B30" s="14" t="inlineStr">
        <is>
          <t>Panoramic</t>
        </is>
      </c>
      <c r="C30" s="15" t="n">
        <v>185</v>
      </c>
      <c r="D30" s="16">
        <f>C30*Settings!$B$3</f>
        <v/>
      </c>
      <c r="E30" s="15" t="n">
        <v>235</v>
      </c>
      <c r="F30" s="16">
        <f>E30*Settings!$B$3</f>
        <v/>
      </c>
      <c r="G30" s="15" t="n">
        <v>391</v>
      </c>
      <c r="H30" s="16">
        <f>G30*Settings!$B$3</f>
        <v/>
      </c>
    </row>
    <row r="31">
      <c r="A31" s="13" t="inlineStr">
        <is>
          <t>24 × 48"</t>
        </is>
      </c>
      <c r="B31" s="14" t="inlineStr">
        <is>
          <t>Panoramic</t>
        </is>
      </c>
      <c r="C31" s="15" t="n">
        <v>180</v>
      </c>
      <c r="D31" s="16">
        <f>C31*Settings!$B$3</f>
        <v/>
      </c>
      <c r="E31" s="15" t="n">
        <v>225</v>
      </c>
      <c r="F31" s="16">
        <f>E31*Settings!$B$3</f>
        <v/>
      </c>
      <c r="G31" s="15" t="n">
        <v>361</v>
      </c>
      <c r="H31" s="16">
        <f>G31*Settings!$B$3</f>
        <v/>
      </c>
    </row>
    <row r="32">
      <c r="A32" s="13" t="inlineStr">
        <is>
          <t>30 × 60"</t>
        </is>
      </c>
      <c r="B32" s="14" t="inlineStr">
        <is>
          <t>Panoramic</t>
        </is>
      </c>
      <c r="C32" s="15" t="n">
        <v>325</v>
      </c>
      <c r="D32" s="16">
        <f>C32*Settings!$B$3</f>
        <v/>
      </c>
      <c r="E32" s="15" t="n">
        <v>380</v>
      </c>
      <c r="F32" s="16">
        <f>E32*Settings!$B$3</f>
        <v/>
      </c>
      <c r="G32" s="15" t="n">
        <v>556</v>
      </c>
      <c r="H32" s="16">
        <f>G32*Settings!$B$3</f>
        <v/>
      </c>
    </row>
    <row r="33">
      <c r="A33" s="13" t="inlineStr">
        <is>
          <t>40 × 80"</t>
        </is>
      </c>
      <c r="B33" s="14" t="inlineStr">
        <is>
          <t>Panoramic</t>
        </is>
      </c>
      <c r="C33" s="15" t="n">
        <v>550</v>
      </c>
      <c r="D33" s="16">
        <f>C33*Settings!$B$3</f>
        <v/>
      </c>
      <c r="E33" s="15" t="n">
        <v>620</v>
      </c>
      <c r="F33" s="16">
        <f>E33*Settings!$B$3</f>
        <v/>
      </c>
      <c r="G33" s="15" t="n">
        <v>925</v>
      </c>
      <c r="H33" s="16">
        <f>G33*Settings!$B$3</f>
        <v/>
      </c>
    </row>
    <row r="34">
      <c r="A34" s="10" t="inlineStr">
        <is>
          <t xml:space="preserve">  Custom</t>
        </is>
      </c>
      <c r="B34" s="11" t="n"/>
      <c r="C34" s="11" t="n"/>
      <c r="D34" s="11" t="n"/>
      <c r="E34" s="11" t="n"/>
      <c r="F34" s="11" t="n"/>
      <c r="G34" s="11" t="n"/>
      <c r="H34" s="12" t="n"/>
    </row>
    <row r="35">
      <c r="A35" s="13" t="inlineStr">
        <is>
          <t>Custom Size</t>
        </is>
      </c>
      <c r="B35" s="14" t="inlineStr">
        <is>
          <t>Custom</t>
        </is>
      </c>
      <c r="C35" s="17" t="inlineStr">
        <is>
          <t>Enquire</t>
        </is>
      </c>
      <c r="D35" s="17" t="inlineStr">
        <is>
          <t>Enquire</t>
        </is>
      </c>
      <c r="E35" s="17" t="inlineStr">
        <is>
          <t>Enquire</t>
        </is>
      </c>
      <c r="F35" s="17" t="inlineStr">
        <is>
          <t>Enquire</t>
        </is>
      </c>
      <c r="G35" s="17" t="inlineStr">
        <is>
          <t>Enquire</t>
        </is>
      </c>
      <c r="H35" s="17" t="inlineStr">
        <is>
          <t>Enquire</t>
        </is>
      </c>
    </row>
  </sheetData>
  <mergeCells count="5">
    <mergeCell ref="A3:H3"/>
    <mergeCell ref="A16:H16"/>
    <mergeCell ref="A1:H1"/>
    <mergeCell ref="A23:H23"/>
    <mergeCell ref="A34:H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6" t="inlineStr">
        <is>
          <t>Glass Float Framed Pricing</t>
        </is>
      </c>
    </row>
    <row r="2" ht="32" customHeight="1">
      <c r="A2" s="18" t="inlineStr">
        <is>
          <t>NOTE: Glass float framed pricing from the lab requires manual size confirmation. Base costs below are indicative — verify with lab before quoting.</t>
        </is>
      </c>
    </row>
    <row r="3">
      <c r="A3" s="7" t="inlineStr">
        <is>
          <t>Size (A-series)</t>
        </is>
      </c>
      <c r="B3" s="8" t="inlineStr">
        <is>
          <t>Base Cost (indicative)</t>
        </is>
      </c>
      <c r="C3" s="9" t="inlineStr">
        <is>
          <t>SELL PRICE</t>
        </is>
      </c>
    </row>
    <row r="4">
      <c r="A4" s="13" t="inlineStr">
        <is>
          <t>A4  (8.3 × 11.7")</t>
        </is>
      </c>
      <c r="B4" s="15" t="n">
        <v>165</v>
      </c>
      <c r="C4" s="16">
        <f>B4*Settings!$B$3</f>
        <v/>
      </c>
    </row>
    <row r="5">
      <c r="A5" s="13" t="inlineStr">
        <is>
          <t>A3  (11.7 × 16.5")</t>
        </is>
      </c>
      <c r="B5" s="15" t="n">
        <v>210</v>
      </c>
      <c r="C5" s="16">
        <f>B5*Settings!$B$3</f>
        <v/>
      </c>
    </row>
    <row r="6">
      <c r="A6" s="13" t="inlineStr">
        <is>
          <t>A2  (16.5 × 23.4")</t>
        </is>
      </c>
      <c r="B6" s="15" t="n">
        <v>280</v>
      </c>
      <c r="C6" s="16">
        <f>B6*Settings!$B$3</f>
        <v/>
      </c>
    </row>
    <row r="7">
      <c r="A7" s="13" t="inlineStr">
        <is>
          <t>A1  (23.4 × 33.1")</t>
        </is>
      </c>
      <c r="B7" s="15" t="n">
        <v>370</v>
      </c>
      <c r="C7" s="16">
        <f>B7*Settings!$B$3</f>
        <v/>
      </c>
    </row>
    <row r="8">
      <c r="A8" s="13" t="inlineStr">
        <is>
          <t>A0  (33.1 × 46.8")</t>
        </is>
      </c>
      <c r="B8" s="15" t="n">
        <v>540</v>
      </c>
      <c r="C8" s="16">
        <f>B8*Settings!$B$3</f>
        <v/>
      </c>
    </row>
    <row r="9">
      <c r="A9" s="13" t="inlineStr">
        <is>
          <t>Custom Size</t>
        </is>
      </c>
      <c r="B9" s="17" t="inlineStr">
        <is>
          <t>Enquire</t>
        </is>
      </c>
      <c r="C9" s="17" t="inlineStr">
        <is>
          <t>Enquire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2026-05-09T10:12:08Z</dcterms:created>
  <dcterms:modified xmlns:dcterms="http://purl.org/dc/terms/" xmlns:xsi="http://www.w3.org/2001/XMLSchema-instance" xsi:type="dcterms:W3CDTF">2026-05-09T10:12:08Z</dcterms:modified>
</cp:coreProperties>
</file>